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\home\tsafin\src\tpch-cpp\benchmark-results\"/>
    </mc:Choice>
  </mc:AlternateContent>
  <xr:revisionPtr revIDLastSave="0" documentId="13_ncr:1_{79DDC5D5-6521-4AD0-85EB-14A680626D06}" xr6:coauthVersionLast="47" xr6:coauthVersionMax="47" xr10:uidLastSave="{00000000-0000-0000-0000-000000000000}"/>
  <bookViews>
    <workbookView xWindow="3720" yWindow="1185" windowWidth="22920" windowHeight="14130" activeTab="1" xr2:uid="{00000000-000D-0000-FFFF-FFFF00000000}"/>
  </bookViews>
  <sheets>
    <sheet name="Summary" sheetId="1" r:id="rId1"/>
    <sheet name="ORC" sheetId="2" r:id="rId2"/>
    <sheet name="Parquet" sheetId="3" r:id="rId3"/>
    <sheet name="ORC vs Parquet" sheetId="4" r:id="rId4"/>
    <sheet name="Stability Analysis" sheetId="5" r:id="rId5"/>
  </sheets>
  <calcPr calcId="0"/>
</workbook>
</file>

<file path=xl/sharedStrings.xml><?xml version="1.0" encoding="utf-8"?>
<sst xmlns="http://schemas.openxmlformats.org/spreadsheetml/2006/main" count="100" uniqueCount="45">
  <si>
    <t>Phase 16 SF=10 Benchmark Results</t>
  </si>
  <si>
    <t>Benchmark Date:</t>
  </si>
  <si>
    <t>2026-01-19T22:37:29.870019</t>
  </si>
  <si>
    <t>Scale Factor:</t>
  </si>
  <si>
    <t>Total Rows:</t>
  </si>
  <si>
    <t>Format</t>
  </si>
  <si>
    <t>Baseline Throughput</t>
  </si>
  <si>
    <t>Zero-Copy Gain</t>
  </si>
  <si>
    <t>Stability (Std Dev %)</t>
  </si>
  <si>
    <t>Working Tables</t>
  </si>
  <si>
    <t>ORC</t>
  </si>
  <si>
    <t>Parquet</t>
  </si>
  <si>
    <t>ORC Performance Analysis (SF=10)</t>
  </si>
  <si>
    <t>Table</t>
  </si>
  <si>
    <t>Rows</t>
  </si>
  <si>
    <t>Baseline (r/s)</t>
  </si>
  <si>
    <t>Zero-Copy (r/s)</t>
  </si>
  <si>
    <t>True Zero-Copy (r/s)</t>
  </si>
  <si>
    <t>Stability (%)</t>
  </si>
  <si>
    <t>customer</t>
  </si>
  <si>
    <t>lineitem</t>
  </si>
  <si>
    <t>nation</t>
  </si>
  <si>
    <t>orders</t>
  </si>
  <si>
    <t>part</t>
  </si>
  <si>
    <t>partsupp</t>
  </si>
  <si>
    <t>region</t>
  </si>
  <si>
    <t>supplier</t>
  </si>
  <si>
    <t>Parquet Performance Analysis (SF=10)</t>
  </si>
  <si>
    <t>ORC vs Parquet Performance Comparison (SF=10)</t>
  </si>
  <si>
    <t>ORC Baseline</t>
  </si>
  <si>
    <t>ORC Zero-Copy</t>
  </si>
  <si>
    <t>Parquet Baseline</t>
  </si>
  <si>
    <t>Parquet Zero-Copy</t>
  </si>
  <si>
    <t>Winner</t>
  </si>
  <si>
    <t>Difference</t>
  </si>
  <si>
    <t>N/A</t>
  </si>
  <si>
    <t>Performance Stability Analysis</t>
  </si>
  <si>
    <t>Mode</t>
  </si>
  <si>
    <t>Avg Std Dev (%)</t>
  </si>
  <si>
    <t>Status</t>
  </si>
  <si>
    <t>Baseline</t>
  </si>
  <si>
    <t>Poor</t>
  </si>
  <si>
    <t>Zero-Copy</t>
  </si>
  <si>
    <t>Good</t>
  </si>
  <si>
    <t>True Zero-Copy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</si>
</sst>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\x"/>
    <numFmt numFmtId="165" formatCode="0.0%"/>
    <numFmt numFmtId="166" formatCode="\+0.0%;\-0.0%;0.0%"/>
  </numFmts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203864"/>
        <bgColor rgb="FF203864"/>
      </patternFill>
    </fill>
    <fill>
      <patternFill patternType="solid">
        <fgColor rgb="FF4472C4"/>
        <bgColor rgb="FF4472C4"/>
      </patternFill>
    </fill>
    <fill>
      <patternFill patternType="solid">
        <fgColor rgb="FFFFC7CE"/>
        <bgColor rgb="FFFFC7CE"/>
      </patternFill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2">
    <xf numFmtId="0" fontId="0" fillId="0" borderId="0" xfId="0"/>
    <xf numFmtId="3" fontId="0" fillId="0" borderId="0" xfId="0" applyNumberFormat="1"/>
    <xf numFmtId="0" fontId="2" fillId="3" borderId="1" xfId="0" applyFont="1" applyFill="1" applyBorder="1"/>
    <xf numFmtId="0" fontId="0" fillId="0" borderId="1" xfId="0" applyBorder="1"/>
    <xf numFmtId="3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2" fillId="3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165" fontId="0" fillId="5" borderId="1" xfId="0" applyNumberFormat="1" applyFill="1" applyBorder="1"/>
    <xf numFmtId="164" fontId="0" fillId="5" borderId="1" xfId="0" applyNumberFormat="1" applyFill="1" applyBorder="1"/>
    <xf numFmtId="165" fontId="0" fillId="4" borderId="1" xfId="0" applyNumberFormat="1" applyFill="1" applyBorder="1"/>
    <xf numFmtId="165" fontId="0" fillId="6" borderId="1" xfId="0" applyNumberFormat="1" applyFill="1" applyBorder="1"/>
    <xf numFmtId="0" fontId="0" fillId="6" borderId="1" xfId="0" applyFill="1" applyBorder="1"/>
    <xf numFmtId="166" fontId="0" fillId="6" borderId="1" xfId="0" applyNumberFormat="1" applyFill="1" applyBorder="1"/>
    <xf numFmtId="0" fontId="0" fillId="5" borderId="1" xfId="0" applyFill="1" applyBorder="1"/>
    <xf numFmtId="166" fontId="0" fillId="5" borderId="1" xfId="0" applyNumberFormat="1" applyFill="1" applyBorder="1"/>
    <xf numFmtId="166" fontId="0" fillId="4" borderId="1" xfId="0" applyNumberFormat="1" applyFill="1" applyBorder="1"/>
    <xf numFmtId="0" fontId="0" fillId="4" borderId="1" xfId="0" applyFill="1" applyBorder="1"/>
    <xf numFmtId="0" fontId="1" fillId="2" borderId="0" xfId="0" applyFont="1" applyFill="1"/>
    <xf numFmtId="0" fontId="0" fillId="0" borderId="0" xfId="0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ORC Throughput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ORC!$C$3</c:f>
              <c:strCache>
                <c:ptCount val="1"/>
                <c:pt idx="0">
                  <c:v>Baseline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ORC!$A$4:$A$11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ORC!$C$4:$C$11</c:f>
              <c:numCache>
                <c:formatCode>#,##0</c:formatCode>
                <c:ptCount val="8"/>
                <c:pt idx="0">
                  <c:v>0</c:v>
                </c:pt>
                <c:pt idx="1">
                  <c:v>727812.5</c:v>
                </c:pt>
                <c:pt idx="2">
                  <c:v>18750</c:v>
                </c:pt>
                <c:pt idx="3">
                  <c:v>0</c:v>
                </c:pt>
                <c:pt idx="4">
                  <c:v>0</c:v>
                </c:pt>
                <c:pt idx="5">
                  <c:v>1132343.5</c:v>
                </c:pt>
                <c:pt idx="6">
                  <c:v>3750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6A-4CEC-A929-87378E1E8E0F}"/>
            </c:ext>
          </c:extLst>
        </c:ser>
        <c:ser>
          <c:idx val="1"/>
          <c:order val="1"/>
          <c:tx>
            <c:strRef>
              <c:f>ORC!$D$3</c:f>
              <c:strCache>
                <c:ptCount val="1"/>
                <c:pt idx="0">
                  <c:v>Zero-Copy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ORC!$A$4:$A$11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ORC!$D$4:$D$11</c:f>
              <c:numCache>
                <c:formatCode>#,##0</c:formatCode>
                <c:ptCount val="8"/>
                <c:pt idx="0">
                  <c:v>1015633.5</c:v>
                </c:pt>
                <c:pt idx="1">
                  <c:v>993341.5</c:v>
                </c:pt>
                <c:pt idx="2">
                  <c:v>25000</c:v>
                </c:pt>
                <c:pt idx="3">
                  <c:v>635250.5</c:v>
                </c:pt>
                <c:pt idx="4">
                  <c:v>412116</c:v>
                </c:pt>
                <c:pt idx="5">
                  <c:v>1347054.5</c:v>
                </c:pt>
                <c:pt idx="6">
                  <c:v>2083.5</c:v>
                </c:pt>
                <c:pt idx="7">
                  <c:v>1087085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6A-4CEC-A929-87378E1E8E0F}"/>
            </c:ext>
          </c:extLst>
        </c:ser>
        <c:ser>
          <c:idx val="2"/>
          <c:order val="2"/>
          <c:tx>
            <c:strRef>
              <c:f>ORC!$E$3</c:f>
              <c:strCache>
                <c:ptCount val="1"/>
                <c:pt idx="0">
                  <c:v>True Zero-Copy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ORC!$A$4:$A$11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ORC!$E$4:$E$11</c:f>
              <c:numCache>
                <c:formatCode>#,##0</c:formatCode>
                <c:ptCount val="8"/>
                <c:pt idx="0">
                  <c:v>1024267.5</c:v>
                </c:pt>
                <c:pt idx="1">
                  <c:v>1011102.5</c:v>
                </c:pt>
                <c:pt idx="2">
                  <c:v>25000</c:v>
                </c:pt>
                <c:pt idx="3">
                  <c:v>609201.5</c:v>
                </c:pt>
                <c:pt idx="4">
                  <c:v>409540</c:v>
                </c:pt>
                <c:pt idx="5">
                  <c:v>1293979.5</c:v>
                </c:pt>
                <c:pt idx="6">
                  <c:v>2083.5</c:v>
                </c:pt>
                <c:pt idx="7">
                  <c:v>1087085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B6A-4CEC-A929-87378E1E8E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Tables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Throughput (rows/sec)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PARQUET Throughput Comparison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Parquet!$C$3</c:f>
              <c:strCache>
                <c:ptCount val="1"/>
                <c:pt idx="0">
                  <c:v>Baseline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Parquet!$A$4:$A$11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Parquet!$C$4:$C$11</c:f>
              <c:numCache>
                <c:formatCode>#,##0</c:formatCode>
                <c:ptCount val="8"/>
                <c:pt idx="0">
                  <c:v>0</c:v>
                </c:pt>
                <c:pt idx="1">
                  <c:v>542282.5</c:v>
                </c:pt>
                <c:pt idx="2">
                  <c:v>10416.5</c:v>
                </c:pt>
                <c:pt idx="3">
                  <c:v>0</c:v>
                </c:pt>
                <c:pt idx="4">
                  <c:v>0</c:v>
                </c:pt>
                <c:pt idx="5">
                  <c:v>940056.5</c:v>
                </c:pt>
                <c:pt idx="6">
                  <c:v>2500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07F-B22E-B2590FD5EE82}"/>
            </c:ext>
          </c:extLst>
        </c:ser>
        <c:ser>
          <c:idx val="1"/>
          <c:order val="1"/>
          <c:tx>
            <c:strRef>
              <c:f>Parquet!$D$3</c:f>
              <c:strCache>
                <c:ptCount val="1"/>
                <c:pt idx="0">
                  <c:v>Zero-Copy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Parquet!$A$4:$A$11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Parquet!$D$4:$D$11</c:f>
              <c:numCache>
                <c:formatCode>#,##0</c:formatCode>
                <c:ptCount val="8"/>
                <c:pt idx="0">
                  <c:v>1048184.5</c:v>
                </c:pt>
                <c:pt idx="1">
                  <c:v>823946</c:v>
                </c:pt>
                <c:pt idx="2">
                  <c:v>25000</c:v>
                </c:pt>
                <c:pt idx="3">
                  <c:v>630565.5</c:v>
                </c:pt>
                <c:pt idx="4">
                  <c:v>322341</c:v>
                </c:pt>
                <c:pt idx="5">
                  <c:v>1106830</c:v>
                </c:pt>
                <c:pt idx="6">
                  <c:v>3750</c:v>
                </c:pt>
                <c:pt idx="7">
                  <c:v>905441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07F-B22E-B2590FD5EE82}"/>
            </c:ext>
          </c:extLst>
        </c:ser>
        <c:ser>
          <c:idx val="2"/>
          <c:order val="2"/>
          <c:tx>
            <c:strRef>
              <c:f>Parquet!$E$3</c:f>
              <c:strCache>
                <c:ptCount val="1"/>
                <c:pt idx="0">
                  <c:v>True Zero-Copy (r/s)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Parquet!$A$4:$A$11</c:f>
              <c:strCache>
                <c:ptCount val="8"/>
                <c:pt idx="0">
                  <c:v>customer</c:v>
                </c:pt>
                <c:pt idx="1">
                  <c:v>lineitem</c:v>
                </c:pt>
                <c:pt idx="2">
                  <c:v>nation</c:v>
                </c:pt>
                <c:pt idx="3">
                  <c:v>orders</c:v>
                </c:pt>
                <c:pt idx="4">
                  <c:v>part</c:v>
                </c:pt>
                <c:pt idx="5">
                  <c:v>partsupp</c:v>
                </c:pt>
                <c:pt idx="6">
                  <c:v>region</c:v>
                </c:pt>
                <c:pt idx="7">
                  <c:v>supplier</c:v>
                </c:pt>
              </c:strCache>
            </c:strRef>
          </c:cat>
          <c:val>
            <c:numRef>
              <c:f>Parquet!$E$4:$E$11</c:f>
              <c:numCache>
                <c:formatCode>#,##0</c:formatCode>
                <c:ptCount val="8"/>
                <c:pt idx="0">
                  <c:v>240159.5</c:v>
                </c:pt>
                <c:pt idx="1">
                  <c:v>778665</c:v>
                </c:pt>
                <c:pt idx="2">
                  <c:v>12500</c:v>
                </c:pt>
                <c:pt idx="3">
                  <c:v>668798</c:v>
                </c:pt>
                <c:pt idx="4">
                  <c:v>436839</c:v>
                </c:pt>
                <c:pt idx="5">
                  <c:v>1183409</c:v>
                </c:pt>
                <c:pt idx="6">
                  <c:v>5000</c:v>
                </c:pt>
                <c:pt idx="7">
                  <c:v>891941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1D7-407F-B22E-B2590FD5EE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t>Tables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Throughput (rows/sec)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15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workbookViewId="0"/>
  </sheetViews>
  <sheetFormatPr defaultRowHeight="15" x14ac:dyDescent="0.25"/>
  <cols>
    <col min="1" max="1" width="18" customWidth="1"/>
    <col min="2" max="3" width="20" customWidth="1"/>
    <col min="4" max="4" width="25" customWidth="1"/>
    <col min="5" max="5" width="18" customWidth="1"/>
  </cols>
  <sheetData>
    <row r="1" spans="1:6" ht="18.75" x14ac:dyDescent="0.3">
      <c r="A1" s="19" t="s">
        <v>0</v>
      </c>
      <c r="B1" s="20"/>
      <c r="C1" s="20"/>
      <c r="D1" s="20"/>
      <c r="E1" s="20"/>
      <c r="F1" s="20"/>
    </row>
    <row r="3" spans="1:6" x14ac:dyDescent="0.25">
      <c r="A3" t="s">
        <v>1</v>
      </c>
      <c r="B3" t="s">
        <v>2</v>
      </c>
    </row>
    <row r="4" spans="1:6" x14ac:dyDescent="0.25">
      <c r="A4" t="s">
        <v>3</v>
      </c>
      <c r="B4">
        <v>10</v>
      </c>
    </row>
    <row r="5" spans="1:6" x14ac:dyDescent="0.25">
      <c r="A5" t="s">
        <v>4</v>
      </c>
      <c r="B5" s="1">
        <v>158600300</v>
      </c>
    </row>
    <row r="8" spans="1:6" x14ac:dyDescent="0.25">
      <c r="A8" s="2" t="s">
        <v>5</v>
      </c>
      <c r="B8" s="2" t="s">
        <v>6</v>
      </c>
      <c r="C8" s="2" t="s">
        <v>7</v>
      </c>
      <c r="D8" s="2" t="s">
        <v>8</v>
      </c>
      <c r="E8" s="2" t="s">
        <v>9</v>
      </c>
    </row>
    <row r="9" spans="1:6" x14ac:dyDescent="0.25">
      <c r="A9" s="3" t="s">
        <v>10</v>
      </c>
      <c r="B9" s="4">
        <v>470664</v>
      </c>
      <c r="C9" s="5">
        <v>1.465367146201962</v>
      </c>
      <c r="D9" s="6">
        <v>5.5054372529162739E-2</v>
      </c>
      <c r="E9" s="3">
        <v>8</v>
      </c>
    </row>
    <row r="10" spans="1:6" x14ac:dyDescent="0.25">
      <c r="A10" s="3" t="s">
        <v>11</v>
      </c>
      <c r="B10" s="4">
        <v>373813.875</v>
      </c>
      <c r="C10" s="5">
        <v>1.6271660595797841</v>
      </c>
      <c r="D10" s="6">
        <v>0.20472384806635249</v>
      </c>
      <c r="E10" s="3">
        <v>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1"/>
  <sheetViews>
    <sheetView tabSelected="1" workbookViewId="0">
      <selection sqref="A1:G1"/>
    </sheetView>
  </sheetViews>
  <sheetFormatPr defaultRowHeight="15" x14ac:dyDescent="0.25"/>
  <cols>
    <col min="1" max="1" width="15" customWidth="1"/>
    <col min="2" max="7" width="18" customWidth="1"/>
  </cols>
  <sheetData>
    <row r="1" spans="1:7" ht="18.75" x14ac:dyDescent="0.3">
      <c r="A1" s="21" t="s">
        <v>12</v>
      </c>
      <c r="B1" s="20"/>
      <c r="C1" s="20"/>
      <c r="D1" s="20"/>
      <c r="E1" s="20"/>
      <c r="F1" s="20"/>
      <c r="G1" s="20"/>
    </row>
    <row r="3" spans="1:7" x14ac:dyDescent="0.25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7</v>
      </c>
      <c r="G3" s="7" t="s">
        <v>18</v>
      </c>
    </row>
    <row r="4" spans="1:7" x14ac:dyDescent="0.25">
      <c r="A4" s="3" t="s">
        <v>19</v>
      </c>
      <c r="B4" s="4">
        <v>1500000</v>
      </c>
      <c r="C4" s="4">
        <v>0</v>
      </c>
      <c r="D4" s="4">
        <v>1015633.5</v>
      </c>
      <c r="E4" s="4">
        <v>1024267.5</v>
      </c>
      <c r="F4" s="8">
        <v>0</v>
      </c>
      <c r="G4" s="9">
        <v>2.8236691409433429E-2</v>
      </c>
    </row>
    <row r="5" spans="1:7" x14ac:dyDescent="0.25">
      <c r="A5" s="3" t="s">
        <v>20</v>
      </c>
      <c r="B5" s="4">
        <v>60000000</v>
      </c>
      <c r="C5" s="4">
        <v>727812.5</v>
      </c>
      <c r="D5" s="4">
        <v>993341.5</v>
      </c>
      <c r="E5" s="4">
        <v>1011102.5</v>
      </c>
      <c r="F5" s="10">
        <v>1.364831601545728</v>
      </c>
      <c r="G5" s="9">
        <v>2.3985671586338349E-2</v>
      </c>
    </row>
    <row r="6" spans="1:7" x14ac:dyDescent="0.25">
      <c r="A6" s="3" t="s">
        <v>21</v>
      </c>
      <c r="B6" s="4">
        <v>250</v>
      </c>
      <c r="C6" s="4">
        <v>18750</v>
      </c>
      <c r="D6" s="4">
        <v>25000</v>
      </c>
      <c r="E6" s="4">
        <v>25000</v>
      </c>
      <c r="F6" s="10">
        <v>1.333333333333333</v>
      </c>
      <c r="G6" s="9">
        <v>0</v>
      </c>
    </row>
    <row r="7" spans="1:7" x14ac:dyDescent="0.25">
      <c r="A7" s="3" t="s">
        <v>22</v>
      </c>
      <c r="B7" s="4">
        <v>15000000</v>
      </c>
      <c r="C7" s="4">
        <v>0</v>
      </c>
      <c r="D7" s="4">
        <v>635250.5</v>
      </c>
      <c r="E7" s="4">
        <v>609201.5</v>
      </c>
      <c r="F7" s="8">
        <v>0</v>
      </c>
      <c r="G7" s="9">
        <v>2.0090610386982771E-2</v>
      </c>
    </row>
    <row r="8" spans="1:7" x14ac:dyDescent="0.25">
      <c r="A8" s="3" t="s">
        <v>23</v>
      </c>
      <c r="B8" s="4">
        <v>2000000</v>
      </c>
      <c r="C8" s="4">
        <v>0</v>
      </c>
      <c r="D8" s="4">
        <v>412116</v>
      </c>
      <c r="E8" s="4">
        <v>409540</v>
      </c>
      <c r="F8" s="8">
        <v>0</v>
      </c>
      <c r="G8" s="9">
        <v>5.8337047239958206E-4</v>
      </c>
    </row>
    <row r="9" spans="1:7" x14ac:dyDescent="0.25">
      <c r="A9" s="3" t="s">
        <v>24</v>
      </c>
      <c r="B9" s="4">
        <v>80000000</v>
      </c>
      <c r="C9" s="4">
        <v>1132343.5</v>
      </c>
      <c r="D9" s="4">
        <v>1347054.5</v>
      </c>
      <c r="E9" s="4">
        <v>1293979.5</v>
      </c>
      <c r="F9" s="5">
        <v>1.189616490049177</v>
      </c>
      <c r="G9" s="9">
        <v>1.440560229456375E-2</v>
      </c>
    </row>
    <row r="10" spans="1:7" x14ac:dyDescent="0.25">
      <c r="A10" s="3" t="s">
        <v>25</v>
      </c>
      <c r="B10" s="4">
        <v>50</v>
      </c>
      <c r="C10" s="4">
        <v>3750</v>
      </c>
      <c r="D10" s="4">
        <v>2083.5</v>
      </c>
      <c r="E10" s="4">
        <v>2083.5</v>
      </c>
      <c r="F10" s="8">
        <v>0.55559999999999998</v>
      </c>
      <c r="G10" s="11">
        <v>0.28270695883292252</v>
      </c>
    </row>
    <row r="11" spans="1:7" x14ac:dyDescent="0.25">
      <c r="A11" s="3" t="s">
        <v>26</v>
      </c>
      <c r="B11" s="4">
        <v>100000</v>
      </c>
      <c r="C11" s="4">
        <v>0</v>
      </c>
      <c r="D11" s="4">
        <v>1087085</v>
      </c>
      <c r="E11" s="4">
        <v>1087085</v>
      </c>
      <c r="F11" s="8">
        <v>0</v>
      </c>
      <c r="G11" s="9">
        <v>1.537170272149877E-2</v>
      </c>
    </row>
  </sheetData>
  <mergeCells count="1">
    <mergeCell ref="A1:G1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cols>
    <col min="1" max="1" width="15" customWidth="1"/>
    <col min="2" max="7" width="18" customWidth="1"/>
  </cols>
  <sheetData>
    <row r="1" spans="1:7" ht="18.75" x14ac:dyDescent="0.3">
      <c r="A1" s="21" t="s">
        <v>27</v>
      </c>
      <c r="B1" s="20"/>
      <c r="C1" s="20"/>
      <c r="D1" s="20"/>
      <c r="E1" s="20"/>
      <c r="F1" s="20"/>
      <c r="G1" s="20"/>
    </row>
    <row r="3" spans="1:7" x14ac:dyDescent="0.25">
      <c r="A3" s="7" t="s">
        <v>13</v>
      </c>
      <c r="B3" s="7" t="s">
        <v>14</v>
      </c>
      <c r="C3" s="7" t="s">
        <v>15</v>
      </c>
      <c r="D3" s="7" t="s">
        <v>16</v>
      </c>
      <c r="E3" s="7" t="s">
        <v>17</v>
      </c>
      <c r="F3" s="7" t="s">
        <v>7</v>
      </c>
      <c r="G3" s="7" t="s">
        <v>18</v>
      </c>
    </row>
    <row r="4" spans="1:7" x14ac:dyDescent="0.25">
      <c r="A4" s="3" t="s">
        <v>19</v>
      </c>
      <c r="B4" s="4">
        <v>1500000</v>
      </c>
      <c r="C4" s="4">
        <v>0</v>
      </c>
      <c r="D4" s="4">
        <v>1048184.5</v>
      </c>
      <c r="E4" s="4">
        <v>240159.5</v>
      </c>
      <c r="F4" s="8">
        <v>0</v>
      </c>
      <c r="G4" s="9">
        <v>2.5191641862524431E-2</v>
      </c>
    </row>
    <row r="5" spans="1:7" x14ac:dyDescent="0.25">
      <c r="A5" s="3" t="s">
        <v>20</v>
      </c>
      <c r="B5" s="4">
        <v>60000000</v>
      </c>
      <c r="C5" s="4">
        <v>542282.5</v>
      </c>
      <c r="D5" s="4">
        <v>823946</v>
      </c>
      <c r="E5" s="4">
        <v>778665</v>
      </c>
      <c r="F5" s="10">
        <v>1.5194036318708419</v>
      </c>
      <c r="G5" s="11">
        <v>0.2085003224760289</v>
      </c>
    </row>
    <row r="6" spans="1:7" x14ac:dyDescent="0.25">
      <c r="A6" s="3" t="s">
        <v>21</v>
      </c>
      <c r="B6" s="4">
        <v>250</v>
      </c>
      <c r="C6" s="4">
        <v>10416.5</v>
      </c>
      <c r="D6" s="4">
        <v>25000</v>
      </c>
      <c r="E6" s="4">
        <v>12500</v>
      </c>
      <c r="F6" s="10">
        <v>2.40003840061441</v>
      </c>
      <c r="G6" s="9">
        <v>0</v>
      </c>
    </row>
    <row r="7" spans="1:7" x14ac:dyDescent="0.25">
      <c r="A7" s="3" t="s">
        <v>22</v>
      </c>
      <c r="B7" s="4">
        <v>15000000</v>
      </c>
      <c r="C7" s="4">
        <v>0</v>
      </c>
      <c r="D7" s="4">
        <v>630565.5</v>
      </c>
      <c r="E7" s="4">
        <v>668798</v>
      </c>
      <c r="F7" s="8">
        <v>0</v>
      </c>
      <c r="G7" s="12">
        <v>7.705597986130483E-2</v>
      </c>
    </row>
    <row r="8" spans="1:7" x14ac:dyDescent="0.25">
      <c r="A8" s="3" t="s">
        <v>23</v>
      </c>
      <c r="B8" s="4">
        <v>2000000</v>
      </c>
      <c r="C8" s="4">
        <v>0</v>
      </c>
      <c r="D8" s="4">
        <v>322341</v>
      </c>
      <c r="E8" s="4">
        <v>436839</v>
      </c>
      <c r="F8" s="8">
        <v>0</v>
      </c>
      <c r="G8" s="11">
        <v>0.52193768849670152</v>
      </c>
    </row>
    <row r="9" spans="1:7" x14ac:dyDescent="0.25">
      <c r="A9" s="3" t="s">
        <v>24</v>
      </c>
      <c r="B9" s="4">
        <v>80000000</v>
      </c>
      <c r="C9" s="4">
        <v>940056.5</v>
      </c>
      <c r="D9" s="4">
        <v>1106830</v>
      </c>
      <c r="E9" s="4">
        <v>1183409</v>
      </c>
      <c r="F9" s="5">
        <v>1.1774079536708699</v>
      </c>
      <c r="G9" s="12">
        <v>9.698114237167646E-2</v>
      </c>
    </row>
    <row r="10" spans="1:7" x14ac:dyDescent="0.25">
      <c r="A10" s="3" t="s">
        <v>25</v>
      </c>
      <c r="B10" s="4">
        <v>50</v>
      </c>
      <c r="C10" s="4">
        <v>2500</v>
      </c>
      <c r="D10" s="4">
        <v>3750</v>
      </c>
      <c r="E10" s="4">
        <v>5000</v>
      </c>
      <c r="F10" s="10">
        <v>1.5</v>
      </c>
      <c r="G10" s="11">
        <v>0.47140452079103168</v>
      </c>
    </row>
    <row r="11" spans="1:7" x14ac:dyDescent="0.25">
      <c r="A11" s="3" t="s">
        <v>26</v>
      </c>
      <c r="B11" s="4">
        <v>100000</v>
      </c>
      <c r="C11" s="4">
        <v>0</v>
      </c>
      <c r="D11" s="4">
        <v>905441</v>
      </c>
      <c r="E11" s="4">
        <v>891941</v>
      </c>
      <c r="F11" s="8">
        <v>0</v>
      </c>
      <c r="G11" s="9">
        <v>3.1995640605199951E-2</v>
      </c>
    </row>
  </sheetData>
  <mergeCells count="1">
    <mergeCell ref="A1:G1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1"/>
  <sheetViews>
    <sheetView workbookViewId="0"/>
  </sheetViews>
  <sheetFormatPr defaultRowHeight="15" x14ac:dyDescent="0.25"/>
  <cols>
    <col min="1" max="1" width="15" customWidth="1"/>
    <col min="2" max="8" width="16" customWidth="1"/>
  </cols>
  <sheetData>
    <row r="1" spans="1:8" ht="18.75" x14ac:dyDescent="0.3">
      <c r="A1" s="19" t="s">
        <v>28</v>
      </c>
      <c r="B1" s="20"/>
      <c r="C1" s="20"/>
      <c r="D1" s="20"/>
      <c r="E1" s="20"/>
      <c r="F1" s="20"/>
      <c r="G1" s="20"/>
      <c r="H1" s="20"/>
    </row>
    <row r="3" spans="1:8" x14ac:dyDescent="0.25">
      <c r="A3" s="7" t="s">
        <v>13</v>
      </c>
      <c r="B3" s="7" t="s">
        <v>14</v>
      </c>
      <c r="C3" s="7" t="s">
        <v>29</v>
      </c>
      <c r="D3" s="7" t="s">
        <v>30</v>
      </c>
      <c r="E3" s="7" t="s">
        <v>31</v>
      </c>
      <c r="F3" s="7" t="s">
        <v>32</v>
      </c>
      <c r="G3" s="7" t="s">
        <v>33</v>
      </c>
      <c r="H3" s="7" t="s">
        <v>34</v>
      </c>
    </row>
    <row r="4" spans="1:8" x14ac:dyDescent="0.25">
      <c r="A4" s="3" t="s">
        <v>19</v>
      </c>
      <c r="B4" s="4"/>
      <c r="C4" s="4" t="s">
        <v>35</v>
      </c>
      <c r="D4" s="4">
        <v>1015633.5</v>
      </c>
      <c r="E4" s="4" t="s">
        <v>35</v>
      </c>
      <c r="F4" s="4">
        <v>1048184.5</v>
      </c>
      <c r="G4" s="13" t="s">
        <v>11</v>
      </c>
      <c r="H4" s="14">
        <v>-3.1054647345004618</v>
      </c>
    </row>
    <row r="5" spans="1:8" x14ac:dyDescent="0.25">
      <c r="A5" s="3" t="s">
        <v>20</v>
      </c>
      <c r="B5" s="4">
        <v>60000000</v>
      </c>
      <c r="C5" s="4">
        <v>727812.5</v>
      </c>
      <c r="D5" s="4">
        <v>993341.5</v>
      </c>
      <c r="E5" s="4">
        <v>542282.5</v>
      </c>
      <c r="F5" s="4">
        <v>823946</v>
      </c>
      <c r="G5" s="15" t="s">
        <v>10</v>
      </c>
      <c r="H5" s="16">
        <v>20.55905362730082</v>
      </c>
    </row>
    <row r="6" spans="1:8" x14ac:dyDescent="0.25">
      <c r="A6" s="3" t="s">
        <v>21</v>
      </c>
      <c r="B6" s="4">
        <v>250</v>
      </c>
      <c r="C6" s="4">
        <v>18750</v>
      </c>
      <c r="D6" s="4">
        <v>25000</v>
      </c>
      <c r="E6" s="4">
        <v>10416.5</v>
      </c>
      <c r="F6" s="4">
        <v>25000</v>
      </c>
      <c r="G6" s="13" t="s">
        <v>11</v>
      </c>
      <c r="H6" s="14">
        <v>0</v>
      </c>
    </row>
    <row r="7" spans="1:8" x14ac:dyDescent="0.25">
      <c r="A7" s="3" t="s">
        <v>22</v>
      </c>
      <c r="B7" s="4"/>
      <c r="C7" s="4" t="s">
        <v>35</v>
      </c>
      <c r="D7" s="4">
        <v>635250.5</v>
      </c>
      <c r="E7" s="4" t="s">
        <v>35</v>
      </c>
      <c r="F7" s="4">
        <v>630565.5</v>
      </c>
      <c r="G7" s="15" t="s">
        <v>10</v>
      </c>
      <c r="H7" s="14">
        <v>0.74298387717057157</v>
      </c>
    </row>
    <row r="8" spans="1:8" x14ac:dyDescent="0.25">
      <c r="A8" s="3" t="s">
        <v>23</v>
      </c>
      <c r="B8" s="4"/>
      <c r="C8" s="4" t="s">
        <v>35</v>
      </c>
      <c r="D8" s="4">
        <v>412116</v>
      </c>
      <c r="E8" s="4" t="s">
        <v>35</v>
      </c>
      <c r="F8" s="4">
        <v>322341</v>
      </c>
      <c r="G8" s="15" t="s">
        <v>10</v>
      </c>
      <c r="H8" s="16">
        <v>27.850940463670462</v>
      </c>
    </row>
    <row r="9" spans="1:8" x14ac:dyDescent="0.25">
      <c r="A9" s="3" t="s">
        <v>24</v>
      </c>
      <c r="B9" s="4">
        <v>80000000</v>
      </c>
      <c r="C9" s="4">
        <v>1132343.5</v>
      </c>
      <c r="D9" s="4">
        <v>1347054.5</v>
      </c>
      <c r="E9" s="4">
        <v>940056.5</v>
      </c>
      <c r="F9" s="4">
        <v>1106830</v>
      </c>
      <c r="G9" s="15" t="s">
        <v>10</v>
      </c>
      <c r="H9" s="16">
        <v>21.703829856436851</v>
      </c>
    </row>
    <row r="10" spans="1:8" x14ac:dyDescent="0.25">
      <c r="A10" s="3" t="s">
        <v>25</v>
      </c>
      <c r="B10" s="4">
        <v>50</v>
      </c>
      <c r="C10" s="4">
        <v>3750</v>
      </c>
      <c r="D10" s="4">
        <v>2083.5</v>
      </c>
      <c r="E10" s="4">
        <v>2500</v>
      </c>
      <c r="F10" s="4">
        <v>3750</v>
      </c>
      <c r="G10" s="13" t="s">
        <v>11</v>
      </c>
      <c r="H10" s="17">
        <v>-44.44</v>
      </c>
    </row>
    <row r="11" spans="1:8" x14ac:dyDescent="0.25">
      <c r="A11" s="3" t="s">
        <v>26</v>
      </c>
      <c r="B11" s="4"/>
      <c r="C11" s="4" t="s">
        <v>35</v>
      </c>
      <c r="D11" s="4">
        <v>1087085</v>
      </c>
      <c r="E11" s="4" t="s">
        <v>35</v>
      </c>
      <c r="F11" s="4">
        <v>905441</v>
      </c>
      <c r="G11" s="15" t="s">
        <v>10</v>
      </c>
      <c r="H11" s="16">
        <v>20.061384452438091</v>
      </c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9"/>
  <sheetViews>
    <sheetView workbookViewId="0"/>
  </sheetViews>
  <sheetFormatPr defaultRowHeight="15" x14ac:dyDescent="0.25"/>
  <cols>
    <col min="1" max="1" width="12" customWidth="1"/>
    <col min="2" max="2" width="15" customWidth="1"/>
    <col min="3" max="3" width="18" customWidth="1"/>
    <col min="4" max="4" width="15" customWidth="1"/>
  </cols>
  <sheetData>
    <row r="1" spans="1:4" ht="18.75" x14ac:dyDescent="0.3">
      <c r="A1" s="21" t="s">
        <v>36</v>
      </c>
      <c r="B1" s="20"/>
      <c r="C1" s="20"/>
      <c r="D1" s="20"/>
    </row>
    <row r="3" spans="1:4" x14ac:dyDescent="0.25">
      <c r="A3" s="2" t="s">
        <v>5</v>
      </c>
      <c r="B3" s="2" t="s">
        <v>37</v>
      </c>
      <c r="C3" s="2" t="s">
        <v>38</v>
      </c>
      <c r="D3" s="2" t="s">
        <v>39</v>
      </c>
    </row>
    <row r="4" spans="1:4" x14ac:dyDescent="0.25">
      <c r="A4" s="3" t="s">
        <v>10</v>
      </c>
      <c r="B4" s="3" t="s">
        <v>40</v>
      </c>
      <c r="C4" s="6">
        <v>0.24447415071532719</v>
      </c>
      <c r="D4" s="18" t="s">
        <v>41</v>
      </c>
    </row>
    <row r="5" spans="1:4" x14ac:dyDescent="0.25">
      <c r="A5" s="3" t="s">
        <v>10</v>
      </c>
      <c r="B5" s="3" t="s">
        <v>42</v>
      </c>
      <c r="C5" s="6">
        <v>5.5054372529162739E-2</v>
      </c>
      <c r="D5" s="13" t="s">
        <v>43</v>
      </c>
    </row>
    <row r="6" spans="1:4" x14ac:dyDescent="0.25">
      <c r="A6" s="3" t="s">
        <v>10</v>
      </c>
      <c r="B6" s="3" t="s">
        <v>44</v>
      </c>
      <c r="C6" s="6">
        <v>5.112655308504048E-2</v>
      </c>
      <c r="D6" s="13" t="s">
        <v>43</v>
      </c>
    </row>
    <row r="7" spans="1:4" x14ac:dyDescent="0.25">
      <c r="A7" s="3" t="s">
        <v>11</v>
      </c>
      <c r="B7" s="3" t="s">
        <v>40</v>
      </c>
      <c r="C7" s="6">
        <v>0.13784500525063581</v>
      </c>
      <c r="D7" s="13" t="s">
        <v>43</v>
      </c>
    </row>
    <row r="8" spans="1:4" x14ac:dyDescent="0.25">
      <c r="A8" s="3" t="s">
        <v>11</v>
      </c>
      <c r="B8" s="3" t="s">
        <v>42</v>
      </c>
      <c r="C8" s="6">
        <v>0.20472384806635249</v>
      </c>
      <c r="D8" s="18" t="s">
        <v>41</v>
      </c>
    </row>
    <row r="9" spans="1:4" x14ac:dyDescent="0.25">
      <c r="A9" s="3" t="s">
        <v>11</v>
      </c>
      <c r="B9" s="3" t="s">
        <v>44</v>
      </c>
      <c r="C9" s="6">
        <v>0.19674765550178189</v>
      </c>
      <c r="D9" s="18" t="s">
        <v>41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ORC</vt:lpstr>
      <vt:lpstr>Parquet</vt:lpstr>
      <vt:lpstr>ORC vs Parquet</vt:lpstr>
      <vt:lpstr>Stability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Timur Safin</cp:lastModifiedBy>
  <dcterms:created xsi:type="dcterms:W3CDTF">2026-01-19T21:43:21Z</dcterms:created>
  <dcterms:modified xsi:type="dcterms:W3CDTF">2026-01-19T21:51:23Z</dcterms:modified>
</cp:coreProperties>
</file>